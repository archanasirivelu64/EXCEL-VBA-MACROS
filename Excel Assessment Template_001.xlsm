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DD97A8EA-9A9A-E61F-A557-7D5A7D7259CE}"/>
  <workbookPr codeName="ThisWorkbook"/>
  <bookViews>
    <workbookView xWindow="-108" yWindow="-108" windowWidth="19416" windowHeight="10296"/>
  </bookViews>
  <sheets>
    <sheet name="Using Formulas" sheetId="1" r:id="rId1"/>
    <sheet name="Using Macros" sheetId="2" r:id="rId2"/>
    <sheet name="Raw Data" sheetId="3" r:id="rId3"/>
  </sheets>
  <definedNames>
    <definedName name="_xlnm._FilterDatabase" localSheetId="2" hidden="1">'Raw Data'!$A$1:$D$49</definedName>
    <definedName name="ADMIN">'Using Formulas'!$S$2:$S$3</definedName>
    <definedName name="FINANCE">'Using Formulas'!$T$2:$T$3</definedName>
    <definedName name="OPEX">'Using Formulas'!$U$2:$U$3</definedName>
    <definedName name="SDU">'Using Formulas'!$V$2:$V$3</definedName>
    <definedName name="TALENT">'Using Formulas'!$W$2:$W$5</definedName>
  </definedNames>
  <calcPr calcId="191029"/>
</workbook>
</file>

<file path=xl/calcChain.xml><?xml version="1.0" encoding="utf-8"?>
<calcChain xmlns="http://schemas.openxmlformats.org/spreadsheetml/2006/main">
  <c r="N13" i="1"/>
  <c r="K13"/>
  <c r="H12"/>
  <c r="O13" s="1"/>
  <c r="L13" l="1"/>
</calcChain>
</file>

<file path=xl/sharedStrings.xml><?xml version="1.0" encoding="utf-8"?>
<sst xmlns="http://schemas.openxmlformats.org/spreadsheetml/2006/main" count="246" uniqueCount="38">
  <si>
    <t>Instructions:</t>
  </si>
  <si>
    <t>1. Create a Department, LOB level compensation comparison template referring to the raw data using Formulas</t>
  </si>
  <si>
    <t>ADMIN</t>
  </si>
  <si>
    <t>3+9 Forecast</t>
  </si>
  <si>
    <t>Internal</t>
  </si>
  <si>
    <t>External</t>
  </si>
  <si>
    <t>Project Based</t>
  </si>
  <si>
    <t>FTE Model</t>
  </si>
  <si>
    <t>Analytics</t>
  </si>
  <si>
    <t>2. Create a dropdown to choose the Department in column D</t>
  </si>
  <si>
    <t>FINANCE</t>
  </si>
  <si>
    <t>6+6 Forecast</t>
  </si>
  <si>
    <t>Outsourced</t>
  </si>
  <si>
    <t>Regular</t>
  </si>
  <si>
    <t>Output Model</t>
  </si>
  <si>
    <t>Comp &amp; Ben</t>
  </si>
  <si>
    <t>3. Basis selection of Department, respective LOBs should auto populate in column F</t>
  </si>
  <si>
    <t>OPEX</t>
  </si>
  <si>
    <t>Actual</t>
  </si>
  <si>
    <t>Hiring</t>
  </si>
  <si>
    <t>4. Based on the Department, LOB, actual compensation data should populate in column H</t>
  </si>
  <si>
    <t>SDU</t>
  </si>
  <si>
    <t>Budget</t>
  </si>
  <si>
    <t>Learning &amp; Development</t>
  </si>
  <si>
    <t>5. Provide dropdown to select Data type i.e. Budget, 3+9 Forecast, 6+6 Forecast in columns K and N</t>
  </si>
  <si>
    <t>TALENT</t>
  </si>
  <si>
    <t>6. Based on the selection, the respective compensation should appear for the Department/LOB and % comparison against Actual should appear</t>
  </si>
  <si>
    <t>Department</t>
  </si>
  <si>
    <t>LOB</t>
  </si>
  <si>
    <t>Data Type</t>
  </si>
  <si>
    <t>Compensation (in $ million)</t>
  </si>
  <si>
    <t>1. Create a Department, LOB level compensation comparison template referring to the raw data using Macros</t>
  </si>
  <si>
    <t>3+9/6+6 Forecast</t>
  </si>
  <si>
    <t>Actual Compensation</t>
  </si>
  <si>
    <t>% Budget vs Actual</t>
  </si>
  <si>
    <t>% Forecast vs Actual</t>
  </si>
  <si>
    <t>Departments</t>
  </si>
  <si>
    <t>Data Types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</si>
</sst>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000000"/>
      <name val="Arial"/>
      <family val="2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4682B4"/>
        <bgColor rgb="FF4682B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rgb="FF4682B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left" vertical="center" readingOrder="1"/>
    </xf>
    <xf numFmtId="0" fontId="2" fillId="0" borderId="1" xfId="0" applyFont="1" applyBorder="1" applyAlignment="1">
      <alignment horizontal="left" vertical="center" readingOrder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3" borderId="0" xfId="0" applyFill="1"/>
    <xf numFmtId="0" fontId="6" fillId="5" borderId="0" xfId="0" applyFont="1" applyFill="1"/>
    <xf numFmtId="10" fontId="6" fillId="5" borderId="0" xfId="0" applyNumberFormat="1" applyFont="1" applyFill="1"/>
    <xf numFmtId="0" fontId="4" fillId="3" borderId="0" xfId="0" applyFont="1" applyFill="1"/>
    <xf numFmtId="0" fontId="7" fillId="3" borderId="0" xfId="0" applyFont="1" applyFill="1"/>
    <xf numFmtId="0" fontId="6" fillId="3" borderId="0" xfId="0" applyFont="1" applyFill="1"/>
    <xf numFmtId="0" fontId="6" fillId="4" borderId="0" xfId="0" applyFont="1" applyFill="1"/>
    <xf numFmtId="0" fontId="8" fillId="6" borderId="1" xfId="0" applyFont="1" applyFill="1" applyBorder="1" applyAlignment="1">
      <alignment horizontal="left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20"/>
  <sheetViews>
    <sheetView showGridLines="0" tabSelected="1" zoomScaleNormal="100" workbookViewId="0">
      <selection activeCell="D11" sqref="D11:D12"/>
    </sheetView>
  </sheetViews>
  <sheetFormatPr defaultRowHeight="14.4"/>
  <cols>
    <col min="4" max="4" width="12" customWidth="1"/>
    <col min="6" max="6" width="21.33203125" customWidth="1"/>
    <col min="8" max="8" width="19.5546875" customWidth="1"/>
    <col min="11" max="11" width="17.21875" customWidth="1"/>
    <col min="12" max="12" width="19.77734375" customWidth="1"/>
    <col min="14" max="14" width="16.5546875" customWidth="1"/>
    <col min="15" max="15" width="20.44140625" customWidth="1"/>
    <col min="16" max="16" width="19.5546875" customWidth="1"/>
    <col min="19" max="19" width="12.21875" customWidth="1"/>
    <col min="21" max="21" width="14.44140625" customWidth="1"/>
    <col min="22" max="22" width="18.6640625" customWidth="1"/>
    <col min="23" max="23" width="18.77734375" bestFit="1" customWidth="1"/>
  </cols>
  <sheetData>
    <row r="1" spans="1:23">
      <c r="C1" s="3"/>
      <c r="S1" s="6" t="s">
        <v>2</v>
      </c>
      <c r="T1" s="2" t="s">
        <v>10</v>
      </c>
      <c r="U1" s="2" t="s">
        <v>17</v>
      </c>
      <c r="V1" s="2" t="s">
        <v>21</v>
      </c>
      <c r="W1" s="2" t="s">
        <v>25</v>
      </c>
    </row>
    <row r="2" spans="1:23">
      <c r="B2" s="5" t="s">
        <v>0</v>
      </c>
      <c r="C2" s="4" t="s">
        <v>1</v>
      </c>
      <c r="O2" s="2" t="s">
        <v>21</v>
      </c>
      <c r="P2" s="2" t="s">
        <v>14</v>
      </c>
      <c r="Q2" s="2" t="s">
        <v>22</v>
      </c>
      <c r="S2" s="6" t="s">
        <v>4</v>
      </c>
      <c r="T2" s="2" t="s">
        <v>4</v>
      </c>
      <c r="U2" s="2" t="s">
        <v>13</v>
      </c>
      <c r="V2" s="2" t="s">
        <v>14</v>
      </c>
      <c r="W2" s="2" t="s">
        <v>19</v>
      </c>
    </row>
    <row r="3" spans="1:23">
      <c r="C3" s="4" t="s">
        <v>9</v>
      </c>
      <c r="O3" s="2" t="s">
        <v>17</v>
      </c>
      <c r="P3" s="2" t="s">
        <v>7</v>
      </c>
      <c r="Q3" s="2" t="s">
        <v>3</v>
      </c>
      <c r="S3" s="6" t="s">
        <v>12</v>
      </c>
      <c r="T3" s="2" t="s">
        <v>5</v>
      </c>
      <c r="U3" s="2" t="s">
        <v>6</v>
      </c>
      <c r="V3" s="2" t="s">
        <v>7</v>
      </c>
      <c r="W3" s="2" t="s">
        <v>15</v>
      </c>
    </row>
    <row r="4" spans="1:23">
      <c r="C4" s="4" t="s">
        <v>16</v>
      </c>
      <c r="O4" s="2" t="s">
        <v>25</v>
      </c>
      <c r="P4" s="2" t="s">
        <v>13</v>
      </c>
      <c r="Q4" s="2" t="s">
        <v>11</v>
      </c>
      <c r="S4" s="6"/>
      <c r="W4" s="2" t="s">
        <v>8</v>
      </c>
    </row>
    <row r="5" spans="1:23">
      <c r="C5" s="4" t="s">
        <v>20</v>
      </c>
      <c r="O5" s="2" t="s">
        <v>2</v>
      </c>
      <c r="P5" s="2" t="s">
        <v>6</v>
      </c>
      <c r="Q5" s="2"/>
      <c r="W5" s="2" t="s">
        <v>23</v>
      </c>
    </row>
    <row r="6" spans="1:23">
      <c r="C6" s="4" t="s">
        <v>24</v>
      </c>
      <c r="O6" s="2" t="s">
        <v>10</v>
      </c>
      <c r="P6" s="2" t="s">
        <v>19</v>
      </c>
    </row>
    <row r="7" spans="1:23">
      <c r="C7" s="4" t="s">
        <v>26</v>
      </c>
      <c r="P7" s="2" t="s">
        <v>15</v>
      </c>
    </row>
    <row r="8" spans="1:23">
      <c r="C8" s="4"/>
      <c r="P8" s="2" t="s">
        <v>8</v>
      </c>
    </row>
    <row r="9" spans="1:23">
      <c r="A9" s="7"/>
      <c r="B9" s="7"/>
      <c r="C9" s="10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" t="s">
        <v>23</v>
      </c>
    </row>
    <row r="10" spans="1:23">
      <c r="A10" s="7"/>
      <c r="B10" s="7"/>
      <c r="C10" s="11"/>
      <c r="D10" s="12"/>
      <c r="E10" s="12"/>
      <c r="F10" s="12"/>
      <c r="G10" s="7"/>
      <c r="H10" s="12"/>
      <c r="I10" s="12"/>
      <c r="J10" s="12"/>
      <c r="K10" s="12"/>
      <c r="L10" s="12"/>
      <c r="M10" s="12"/>
      <c r="N10" s="12"/>
      <c r="O10" s="12"/>
      <c r="P10" s="2" t="s">
        <v>4</v>
      </c>
    </row>
    <row r="11" spans="1:23">
      <c r="A11" s="7"/>
      <c r="B11" s="7"/>
      <c r="C11" s="12"/>
      <c r="D11" s="14" t="s">
        <v>27</v>
      </c>
      <c r="E11" s="12"/>
      <c r="F11" s="14" t="s">
        <v>28</v>
      </c>
      <c r="G11" s="7"/>
      <c r="H11" s="14" t="s">
        <v>33</v>
      </c>
      <c r="I11" s="12"/>
      <c r="J11" s="12"/>
      <c r="K11" s="14" t="s">
        <v>22</v>
      </c>
      <c r="L11" s="14" t="s">
        <v>34</v>
      </c>
      <c r="M11" s="12"/>
      <c r="N11" s="14" t="s">
        <v>32</v>
      </c>
      <c r="O11" s="14" t="s">
        <v>35</v>
      </c>
      <c r="P11" s="2" t="s">
        <v>12</v>
      </c>
    </row>
    <row r="12" spans="1:23">
      <c r="A12" s="7"/>
      <c r="B12" s="7"/>
      <c r="C12" s="12"/>
      <c r="D12" s="13" t="s">
        <v>21</v>
      </c>
      <c r="E12" s="12"/>
      <c r="F12" s="13" t="s">
        <v>7</v>
      </c>
      <c r="G12" s="12"/>
      <c r="H12" s="13">
        <f>IFERROR(SUMIFS('Raw Data'!$D:$D, 'Raw Data'!$A:$A, $D12, 'Raw Data'!$B:$B, $F12, 'Raw Data'!$C:$C, "Actual"), 0)</f>
        <v>3.25</v>
      </c>
      <c r="I12" s="12"/>
      <c r="J12" s="12"/>
      <c r="K12" s="13" t="s">
        <v>11</v>
      </c>
      <c r="L12" s="8"/>
      <c r="M12" s="12"/>
      <c r="N12" s="13" t="s">
        <v>3</v>
      </c>
      <c r="O12" s="8"/>
      <c r="P12" s="2" t="s">
        <v>5</v>
      </c>
    </row>
    <row r="13" spans="1:23">
      <c r="A13" s="7"/>
      <c r="B13" s="7"/>
      <c r="C13" s="12"/>
      <c r="D13" s="12"/>
      <c r="E13" s="12"/>
      <c r="F13" s="12"/>
      <c r="G13" s="12"/>
      <c r="H13" s="12"/>
      <c r="I13" s="12"/>
      <c r="J13" s="12"/>
      <c r="K13" s="8">
        <f>IFERROR(SUMIFS('Raw Data'!$D:$D,
                'Raw Data'!$A:$A,$D$12,
                'Raw Data'!$B:$B,$F$12,
                'Raw Data'!$C:$C,$K$12), 0)</f>
        <v>4.22</v>
      </c>
      <c r="L13" s="9">
        <f>IF($H$12=0,"", K13/$H$12 - 1)</f>
        <v>0.29846153846153833</v>
      </c>
      <c r="M13" s="12"/>
      <c r="N13" s="8">
        <f>IFERROR(SUMIFS('Raw Data'!$D:$D,
                'Raw Data'!$A:$A,$D$12,
                'Raw Data'!$B:$B,$F$12,
                'Raw Data'!$C:$C,$N$12), 0)</f>
        <v>3.82</v>
      </c>
      <c r="O13" s="9">
        <f>IF($H$12=0,"", N13/$H$12 - 1)</f>
        <v>0.17538461538461525</v>
      </c>
    </row>
    <row r="14" spans="1:23">
      <c r="A14" s="7"/>
      <c r="B14" s="7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23">
      <c r="A15" s="7"/>
      <c r="B15" s="7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23">
      <c r="A16" s="7"/>
      <c r="B16" s="7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>
      <c r="A17" s="7"/>
      <c r="B17" s="7"/>
      <c r="C17" s="7"/>
      <c r="D17" s="7"/>
      <c r="E17" s="7"/>
      <c r="F17" s="7"/>
      <c r="G17" s="12"/>
      <c r="H17" s="7"/>
      <c r="I17" s="7"/>
      <c r="J17" s="7"/>
      <c r="K17" s="7"/>
      <c r="L17" s="7"/>
      <c r="M17" s="7"/>
      <c r="N17" s="7"/>
      <c r="O17" s="7"/>
    </row>
    <row r="18" spans="1:15">
      <c r="A18" s="7"/>
      <c r="B18" s="7"/>
      <c r="C18" s="7"/>
      <c r="D18" s="7"/>
      <c r="E18" s="7"/>
      <c r="F18" s="7"/>
      <c r="G18" s="12"/>
      <c r="H18" s="7"/>
      <c r="I18" s="7"/>
      <c r="J18" s="7"/>
      <c r="K18" s="7"/>
      <c r="L18" s="7"/>
      <c r="M18" s="7"/>
      <c r="N18" s="7"/>
      <c r="O18" s="7"/>
    </row>
    <row r="19" spans="1: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>
      <c r="G20" s="7"/>
    </row>
  </sheetData>
  <dataValidations count="4">
    <dataValidation type="list" allowBlank="1" showInputMessage="1" showErrorMessage="1" sqref="D12">
      <formula1>$O$2:$O$6</formula1>
    </dataValidation>
    <dataValidation type="textLength" allowBlank="1" showInputMessage="1" showErrorMessage="1" sqref="D11">
      <formula1>6</formula1>
      <formula2>10</formula2>
    </dataValidation>
    <dataValidation type="list" allowBlank="1" showInputMessage="1" showErrorMessage="1" sqref="F12">
      <formula1>INDIRECT($D$12)</formula1>
    </dataValidation>
    <dataValidation type="list" allowBlank="1" showInputMessage="1" showErrorMessage="1" sqref="K12 N12">
      <formula1>$Q$2:$Q$4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V13"/>
  <sheetViews>
    <sheetView showGridLines="0" workbookViewId="0">
      <selection activeCell="H20" sqref="H20"/>
    </sheetView>
  </sheetViews>
  <sheetFormatPr defaultRowHeight="14.4"/>
  <cols>
    <col min="4" max="4" width="10.33203125" bestFit="1" customWidth="1"/>
    <col min="6" max="6" width="10.33203125" bestFit="1" customWidth="1"/>
    <col min="8" max="8" width="16.44140625" customWidth="1"/>
    <col min="11" max="11" width="22.109375" customWidth="1"/>
    <col min="14" max="14" width="14.5546875" customWidth="1"/>
  </cols>
  <sheetData>
    <row r="1" spans="2:22">
      <c r="P1" t="s">
        <v>36</v>
      </c>
      <c r="Q1" t="s">
        <v>37</v>
      </c>
      <c r="R1" t="s">
        <v>21</v>
      </c>
      <c r="S1" t="s">
        <v>17</v>
      </c>
      <c r="T1" t="s">
        <v>25</v>
      </c>
      <c r="U1" t="s">
        <v>2</v>
      </c>
      <c r="V1" t="s">
        <v>10</v>
      </c>
    </row>
    <row r="2" spans="2:22">
      <c r="B2" s="5" t="s">
        <v>0</v>
      </c>
      <c r="C2" s="4" t="s">
        <v>31</v>
      </c>
      <c r="P2" t="s">
        <v>21</v>
      </c>
      <c r="Q2" t="s">
        <v>22</v>
      </c>
      <c r="R2" t="s">
        <v>14</v>
      </c>
      <c r="S2" t="s">
        <v>13</v>
      </c>
      <c r="T2" t="s">
        <v>19</v>
      </c>
      <c r="U2" t="s">
        <v>4</v>
      </c>
      <c r="V2" t="s">
        <v>4</v>
      </c>
    </row>
    <row r="3" spans="2:22">
      <c r="C3" s="4" t="s">
        <v>9</v>
      </c>
      <c r="P3" t="s">
        <v>17</v>
      </c>
      <c r="Q3" t="s">
        <v>3</v>
      </c>
      <c r="R3" t="s">
        <v>7</v>
      </c>
      <c r="S3" t="s">
        <v>6</v>
      </c>
      <c r="T3" t="s">
        <v>15</v>
      </c>
      <c r="U3" t="s">
        <v>12</v>
      </c>
      <c r="V3" t="s">
        <v>5</v>
      </c>
    </row>
    <row r="4" spans="2:22">
      <c r="C4" s="4" t="s">
        <v>16</v>
      </c>
      <c r="P4" t="s">
        <v>25</v>
      </c>
      <c r="Q4" t="s">
        <v>11</v>
      </c>
      <c r="T4" t="s">
        <v>8</v>
      </c>
    </row>
    <row r="5" spans="2:22">
      <c r="C5" s="4" t="s">
        <v>20</v>
      </c>
      <c r="P5" t="s">
        <v>2</v>
      </c>
      <c r="Q5" t="s">
        <v>18</v>
      </c>
      <c r="T5" t="s">
        <v>23</v>
      </c>
    </row>
    <row r="6" spans="2:22">
      <c r="C6" s="4" t="s">
        <v>24</v>
      </c>
      <c r="P6" t="s">
        <v>10</v>
      </c>
    </row>
    <row r="7" spans="2:22">
      <c r="C7" s="4" t="s">
        <v>26</v>
      </c>
    </row>
    <row r="11" spans="2:22">
      <c r="D11" s="14" t="s">
        <v>27</v>
      </c>
      <c r="F11" s="14" t="s">
        <v>28</v>
      </c>
      <c r="H11" s="14" t="s">
        <v>29</v>
      </c>
      <c r="K11" s="14" t="s">
        <v>29</v>
      </c>
      <c r="N11" s="14" t="s">
        <v>29</v>
      </c>
    </row>
    <row r="12" spans="2:22">
      <c r="D12" s="13" t="s">
        <v>21</v>
      </c>
      <c r="F12" s="13" t="s">
        <v>7</v>
      </c>
      <c r="H12" s="13">
        <v>3.25</v>
      </c>
      <c r="K12" s="13" t="s">
        <v>3</v>
      </c>
      <c r="N12" s="13" t="s">
        <v>18</v>
      </c>
    </row>
    <row r="13" spans="2:22">
      <c r="K13">
        <v>3.82</v>
      </c>
      <c r="L13">
        <v>0.17538461538461525</v>
      </c>
      <c r="N13">
        <v>3.25</v>
      </c>
      <c r="O13">
        <v>0</v>
      </c>
    </row>
  </sheetData>
  <dataValidations count="3">
    <dataValidation type="list" allowBlank="1" showInputMessage="1" showErrorMessage="1" sqref="D12">
      <formula1>$P$2:$P$6</formula1>
    </dataValidation>
    <dataValidation type="list" allowBlank="1" showInputMessage="1" showErrorMessage="1" sqref="K12 N12">
      <formula1>$Q$2:$Q$5</formula1>
    </dataValidation>
    <dataValidation type="list" allowBlank="1" showInputMessage="1" showErrorMessage="1" sqref="F12">
      <formula1>"Output Model,FTE Model"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filterMode="1"/>
  <dimension ref="A1:D49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38" sqref="C38"/>
    </sheetView>
  </sheetViews>
  <sheetFormatPr defaultColWidth="30" defaultRowHeight="14.4"/>
  <cols>
    <col min="4" max="4" width="23" bestFit="1" customWidth="1"/>
  </cols>
  <sheetData>
    <row r="1" spans="1:4">
      <c r="A1" s="1" t="s">
        <v>27</v>
      </c>
      <c r="B1" s="1" t="s">
        <v>28</v>
      </c>
      <c r="C1" s="1" t="s">
        <v>29</v>
      </c>
      <c r="D1" s="1" t="s">
        <v>30</v>
      </c>
    </row>
    <row r="2" spans="1:4">
      <c r="A2" s="2" t="s">
        <v>21</v>
      </c>
      <c r="B2" s="2" t="s">
        <v>14</v>
      </c>
      <c r="C2" s="2" t="s">
        <v>22</v>
      </c>
      <c r="D2" s="2">
        <v>2.8</v>
      </c>
    </row>
    <row r="3" spans="1:4">
      <c r="A3" s="2" t="s">
        <v>21</v>
      </c>
      <c r="B3" s="2" t="s">
        <v>7</v>
      </c>
      <c r="C3" s="2" t="s">
        <v>22</v>
      </c>
      <c r="D3" s="2">
        <v>4.2</v>
      </c>
    </row>
    <row r="4" spans="1:4" hidden="1">
      <c r="A4" s="2" t="s">
        <v>17</v>
      </c>
      <c r="B4" s="2" t="s">
        <v>13</v>
      </c>
      <c r="C4" s="2" t="s">
        <v>22</v>
      </c>
      <c r="D4" s="2">
        <v>1.02</v>
      </c>
    </row>
    <row r="5" spans="1:4" hidden="1">
      <c r="A5" s="2" t="s">
        <v>17</v>
      </c>
      <c r="B5" s="2" t="s">
        <v>6</v>
      </c>
      <c r="C5" s="2" t="s">
        <v>22</v>
      </c>
      <c r="D5" s="2">
        <v>0.05</v>
      </c>
    </row>
    <row r="6" spans="1:4" hidden="1">
      <c r="A6" s="2" t="s">
        <v>25</v>
      </c>
      <c r="B6" s="2" t="s">
        <v>19</v>
      </c>
      <c r="C6" s="2" t="s">
        <v>22</v>
      </c>
      <c r="D6" s="2">
        <v>0.8</v>
      </c>
    </row>
    <row r="7" spans="1:4" hidden="1">
      <c r="A7" s="2" t="s">
        <v>25</v>
      </c>
      <c r="B7" s="2" t="s">
        <v>15</v>
      </c>
      <c r="C7" s="2" t="s">
        <v>22</v>
      </c>
      <c r="D7" s="2">
        <v>0.1</v>
      </c>
    </row>
    <row r="8" spans="1:4" hidden="1">
      <c r="A8" s="2" t="s">
        <v>25</v>
      </c>
      <c r="B8" s="2" t="s">
        <v>8</v>
      </c>
      <c r="C8" s="2" t="s">
        <v>22</v>
      </c>
      <c r="D8" s="2">
        <v>0.05</v>
      </c>
    </row>
    <row r="9" spans="1:4" hidden="1">
      <c r="A9" s="2" t="s">
        <v>25</v>
      </c>
      <c r="B9" s="2" t="s">
        <v>23</v>
      </c>
      <c r="C9" s="2" t="s">
        <v>22</v>
      </c>
      <c r="D9" s="2">
        <v>0.05</v>
      </c>
    </row>
    <row r="10" spans="1:4" hidden="1">
      <c r="A10" s="2" t="s">
        <v>2</v>
      </c>
      <c r="B10" s="2" t="s">
        <v>4</v>
      </c>
      <c r="C10" s="2" t="s">
        <v>22</v>
      </c>
      <c r="D10" s="2">
        <v>0.6</v>
      </c>
    </row>
    <row r="11" spans="1:4" hidden="1">
      <c r="A11" s="2" t="s">
        <v>2</v>
      </c>
      <c r="B11" s="2" t="s">
        <v>12</v>
      </c>
      <c r="C11" s="2" t="s">
        <v>22</v>
      </c>
      <c r="D11" s="2">
        <v>1.35</v>
      </c>
    </row>
    <row r="12" spans="1:4" hidden="1">
      <c r="A12" s="2" t="s">
        <v>10</v>
      </c>
      <c r="B12" s="2" t="s">
        <v>4</v>
      </c>
      <c r="C12" s="2" t="s">
        <v>22</v>
      </c>
      <c r="D12" s="2">
        <v>0.8</v>
      </c>
    </row>
    <row r="13" spans="1:4" hidden="1">
      <c r="A13" s="2" t="s">
        <v>10</v>
      </c>
      <c r="B13" s="2" t="s">
        <v>5</v>
      </c>
      <c r="C13" s="2" t="s">
        <v>22</v>
      </c>
      <c r="D13" s="2">
        <v>0.9</v>
      </c>
    </row>
    <row r="14" spans="1:4">
      <c r="A14" s="2" t="s">
        <v>21</v>
      </c>
      <c r="B14" s="2" t="s">
        <v>14</v>
      </c>
      <c r="C14" s="2" t="s">
        <v>3</v>
      </c>
      <c r="D14" s="2">
        <v>2.65</v>
      </c>
    </row>
    <row r="15" spans="1:4">
      <c r="A15" s="2" t="s">
        <v>21</v>
      </c>
      <c r="B15" s="2" t="s">
        <v>7</v>
      </c>
      <c r="C15" s="2" t="s">
        <v>3</v>
      </c>
      <c r="D15" s="2">
        <v>3.82</v>
      </c>
    </row>
    <row r="16" spans="1:4" hidden="1">
      <c r="A16" s="2" t="s">
        <v>17</v>
      </c>
      <c r="B16" s="2" t="s">
        <v>13</v>
      </c>
      <c r="C16" s="2" t="s">
        <v>3</v>
      </c>
      <c r="D16" s="2">
        <v>0.8</v>
      </c>
    </row>
    <row r="17" spans="1:4" hidden="1">
      <c r="A17" s="2" t="s">
        <v>17</v>
      </c>
      <c r="B17" s="2" t="s">
        <v>6</v>
      </c>
      <c r="C17" s="2" t="s">
        <v>3</v>
      </c>
      <c r="D17" s="2">
        <v>0</v>
      </c>
    </row>
    <row r="18" spans="1:4" hidden="1">
      <c r="A18" s="2" t="s">
        <v>25</v>
      </c>
      <c r="B18" s="2" t="s">
        <v>19</v>
      </c>
      <c r="C18" s="2" t="s">
        <v>3</v>
      </c>
      <c r="D18" s="2">
        <v>0.98</v>
      </c>
    </row>
    <row r="19" spans="1:4" hidden="1">
      <c r="A19" s="2" t="s">
        <v>25</v>
      </c>
      <c r="B19" s="2" t="s">
        <v>15</v>
      </c>
      <c r="C19" s="2" t="s">
        <v>3</v>
      </c>
      <c r="D19" s="2">
        <v>0.05</v>
      </c>
    </row>
    <row r="20" spans="1:4" hidden="1">
      <c r="A20" s="2" t="s">
        <v>25</v>
      </c>
      <c r="B20" s="2" t="s">
        <v>8</v>
      </c>
      <c r="C20" s="2" t="s">
        <v>3</v>
      </c>
      <c r="D20" s="2">
        <v>0.03</v>
      </c>
    </row>
    <row r="21" spans="1:4" hidden="1">
      <c r="A21" s="2" t="s">
        <v>25</v>
      </c>
      <c r="B21" s="2" t="s">
        <v>23</v>
      </c>
      <c r="C21" s="2" t="s">
        <v>3</v>
      </c>
      <c r="D21" s="2">
        <v>0.03</v>
      </c>
    </row>
    <row r="22" spans="1:4" hidden="1">
      <c r="A22" s="2" t="s">
        <v>2</v>
      </c>
      <c r="B22" s="2" t="s">
        <v>4</v>
      </c>
      <c r="C22" s="2" t="s">
        <v>3</v>
      </c>
      <c r="D22" s="2">
        <v>0.95</v>
      </c>
    </row>
    <row r="23" spans="1:4" hidden="1">
      <c r="A23" s="2" t="s">
        <v>2</v>
      </c>
      <c r="B23" s="2" t="s">
        <v>12</v>
      </c>
      <c r="C23" s="2" t="s">
        <v>3</v>
      </c>
      <c r="D23" s="2">
        <v>1.48</v>
      </c>
    </row>
    <row r="24" spans="1:4" hidden="1">
      <c r="A24" s="2" t="s">
        <v>10</v>
      </c>
      <c r="B24" s="2" t="s">
        <v>4</v>
      </c>
      <c r="C24" s="2" t="s">
        <v>3</v>
      </c>
      <c r="D24" s="2">
        <v>0.92</v>
      </c>
    </row>
    <row r="25" spans="1:4" hidden="1">
      <c r="A25" s="2" t="s">
        <v>10</v>
      </c>
      <c r="B25" s="2" t="s">
        <v>5</v>
      </c>
      <c r="C25" s="2" t="s">
        <v>3</v>
      </c>
      <c r="D25" s="2">
        <v>1.25</v>
      </c>
    </row>
    <row r="26" spans="1:4">
      <c r="A26" s="2" t="s">
        <v>21</v>
      </c>
      <c r="B26" s="2" t="s">
        <v>14</v>
      </c>
      <c r="C26" s="2" t="s">
        <v>11</v>
      </c>
      <c r="D26" s="2">
        <v>3.45</v>
      </c>
    </row>
    <row r="27" spans="1:4">
      <c r="A27" s="2" t="s">
        <v>21</v>
      </c>
      <c r="B27" s="2" t="s">
        <v>7</v>
      </c>
      <c r="C27" s="2" t="s">
        <v>11</v>
      </c>
      <c r="D27" s="2">
        <v>4.22</v>
      </c>
    </row>
    <row r="28" spans="1:4" hidden="1">
      <c r="A28" s="2" t="s">
        <v>17</v>
      </c>
      <c r="B28" s="2" t="s">
        <v>13</v>
      </c>
      <c r="C28" s="2" t="s">
        <v>11</v>
      </c>
      <c r="D28" s="2">
        <v>0.85</v>
      </c>
    </row>
    <row r="29" spans="1:4" hidden="1">
      <c r="A29" s="2" t="s">
        <v>17</v>
      </c>
      <c r="B29" s="2" t="s">
        <v>6</v>
      </c>
      <c r="C29" s="2" t="s">
        <v>11</v>
      </c>
      <c r="D29" s="2">
        <v>0.01</v>
      </c>
    </row>
    <row r="30" spans="1:4" hidden="1">
      <c r="A30" s="2" t="s">
        <v>25</v>
      </c>
      <c r="B30" s="2" t="s">
        <v>19</v>
      </c>
      <c r="C30" s="2" t="s">
        <v>11</v>
      </c>
      <c r="D30" s="2">
        <v>0.95</v>
      </c>
    </row>
    <row r="31" spans="1:4" hidden="1">
      <c r="A31" s="2" t="s">
        <v>25</v>
      </c>
      <c r="B31" s="2" t="s">
        <v>15</v>
      </c>
      <c r="C31" s="2" t="s">
        <v>11</v>
      </c>
      <c r="D31" s="2">
        <v>0.05</v>
      </c>
    </row>
    <row r="32" spans="1:4" hidden="1">
      <c r="A32" s="2" t="s">
        <v>25</v>
      </c>
      <c r="B32" s="2" t="s">
        <v>8</v>
      </c>
      <c r="C32" s="2" t="s">
        <v>11</v>
      </c>
      <c r="D32" s="2">
        <v>0.02</v>
      </c>
    </row>
    <row r="33" spans="1:4" hidden="1">
      <c r="A33" s="2" t="s">
        <v>25</v>
      </c>
      <c r="B33" s="2" t="s">
        <v>23</v>
      </c>
      <c r="C33" s="2" t="s">
        <v>11</v>
      </c>
      <c r="D33" s="2">
        <v>0.02</v>
      </c>
    </row>
    <row r="34" spans="1:4" hidden="1">
      <c r="A34" s="2" t="s">
        <v>2</v>
      </c>
      <c r="B34" s="2" t="s">
        <v>4</v>
      </c>
      <c r="C34" s="2" t="s">
        <v>11</v>
      </c>
      <c r="D34" s="2">
        <v>1.2</v>
      </c>
    </row>
    <row r="35" spans="1:4" hidden="1">
      <c r="A35" s="2" t="s">
        <v>2</v>
      </c>
      <c r="B35" s="2" t="s">
        <v>12</v>
      </c>
      <c r="C35" s="2" t="s">
        <v>11</v>
      </c>
      <c r="D35" s="2">
        <v>1.52</v>
      </c>
    </row>
    <row r="36" spans="1:4" hidden="1">
      <c r="A36" s="2" t="s">
        <v>10</v>
      </c>
      <c r="B36" s="2" t="s">
        <v>4</v>
      </c>
      <c r="C36" s="2" t="s">
        <v>11</v>
      </c>
      <c r="D36" s="2">
        <v>0.95</v>
      </c>
    </row>
    <row r="37" spans="1:4" hidden="1">
      <c r="A37" s="2" t="s">
        <v>10</v>
      </c>
      <c r="B37" s="2" t="s">
        <v>5</v>
      </c>
      <c r="C37" s="2" t="s">
        <v>11</v>
      </c>
      <c r="D37" s="2">
        <v>1.22</v>
      </c>
    </row>
    <row r="38" spans="1:4">
      <c r="A38" s="2" t="s">
        <v>21</v>
      </c>
      <c r="B38" s="2" t="s">
        <v>14</v>
      </c>
      <c r="C38" s="2" t="s">
        <v>18</v>
      </c>
      <c r="D38" s="2">
        <v>2.44</v>
      </c>
    </row>
    <row r="39" spans="1:4">
      <c r="A39" s="2" t="s">
        <v>21</v>
      </c>
      <c r="B39" s="2" t="s">
        <v>7</v>
      </c>
      <c r="C39" s="2" t="s">
        <v>18</v>
      </c>
      <c r="D39" s="2">
        <v>3.25</v>
      </c>
    </row>
    <row r="40" spans="1:4" hidden="1">
      <c r="A40" s="2" t="s">
        <v>17</v>
      </c>
      <c r="B40" s="2" t="s">
        <v>13</v>
      </c>
      <c r="C40" s="2" t="s">
        <v>18</v>
      </c>
      <c r="D40" s="2">
        <v>0.65</v>
      </c>
    </row>
    <row r="41" spans="1:4" hidden="1">
      <c r="A41" s="2" t="s">
        <v>17</v>
      </c>
      <c r="B41" s="2" t="s">
        <v>6</v>
      </c>
      <c r="C41" s="2" t="s">
        <v>18</v>
      </c>
      <c r="D41" s="2">
        <v>0</v>
      </c>
    </row>
    <row r="42" spans="1:4" hidden="1">
      <c r="A42" s="2" t="s">
        <v>25</v>
      </c>
      <c r="B42" s="2" t="s">
        <v>19</v>
      </c>
      <c r="C42" s="2" t="s">
        <v>18</v>
      </c>
      <c r="D42" s="2">
        <v>0.7</v>
      </c>
    </row>
    <row r="43" spans="1:4" hidden="1">
      <c r="A43" s="2" t="s">
        <v>25</v>
      </c>
      <c r="B43" s="2" t="s">
        <v>15</v>
      </c>
      <c r="C43" s="2" t="s">
        <v>18</v>
      </c>
      <c r="D43" s="2">
        <v>0.1</v>
      </c>
    </row>
    <row r="44" spans="1:4" hidden="1">
      <c r="A44" s="2" t="s">
        <v>25</v>
      </c>
      <c r="B44" s="2" t="s">
        <v>8</v>
      </c>
      <c r="C44" s="2" t="s">
        <v>18</v>
      </c>
      <c r="D44" s="2">
        <v>0.1</v>
      </c>
    </row>
    <row r="45" spans="1:4" hidden="1">
      <c r="A45" s="2" t="s">
        <v>25</v>
      </c>
      <c r="B45" s="2" t="s">
        <v>23</v>
      </c>
      <c r="C45" s="2" t="s">
        <v>18</v>
      </c>
      <c r="D45" s="2">
        <v>0.1</v>
      </c>
    </row>
    <row r="46" spans="1:4" hidden="1">
      <c r="A46" s="2" t="s">
        <v>2</v>
      </c>
      <c r="B46" s="2" t="s">
        <v>4</v>
      </c>
      <c r="C46" s="2" t="s">
        <v>18</v>
      </c>
      <c r="D46" s="2">
        <v>1.5</v>
      </c>
    </row>
    <row r="47" spans="1:4" hidden="1">
      <c r="A47" s="2" t="s">
        <v>2</v>
      </c>
      <c r="B47" s="2" t="s">
        <v>12</v>
      </c>
      <c r="C47" s="2" t="s">
        <v>18</v>
      </c>
      <c r="D47" s="2">
        <v>0.8</v>
      </c>
    </row>
    <row r="48" spans="1:4" hidden="1">
      <c r="A48" s="2" t="s">
        <v>10</v>
      </c>
      <c r="B48" s="2" t="s">
        <v>4</v>
      </c>
      <c r="C48" s="2" t="s">
        <v>18</v>
      </c>
      <c r="D48" s="2">
        <v>0.8</v>
      </c>
    </row>
    <row r="49" spans="1:4" hidden="1">
      <c r="A49" s="2" t="s">
        <v>10</v>
      </c>
      <c r="B49" s="2" t="s">
        <v>5</v>
      </c>
      <c r="C49" s="2" t="s">
        <v>18</v>
      </c>
      <c r="D49" s="2">
        <v>0.65</v>
      </c>
    </row>
  </sheetData>
  <autoFilter ref="A1:D49">
    <filterColumn colId="0">
      <filters>
        <filter val="SDU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Using Formulas</vt:lpstr>
      <vt:lpstr>Using Macros</vt:lpstr>
      <vt:lpstr>Raw Data</vt:lpstr>
      <vt:lpstr>ADMIN</vt:lpstr>
      <vt:lpstr>FINANCE</vt:lpstr>
      <vt:lpstr>OPEX</vt:lpstr>
      <vt:lpstr>SDU</vt:lpstr>
      <vt:lpstr>TALENT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Dilip Rao</dc:creator>
  <cp:lastModifiedBy>aaaa</cp:lastModifiedBy>
  <dcterms:created xsi:type="dcterms:W3CDTF">2023-07-17T08:11:37Z</dcterms:created>
  <dcterms:modified xsi:type="dcterms:W3CDTF">2025-11-13T13:51:39Z</dcterms:modified>
</cp:coreProperties>
</file>